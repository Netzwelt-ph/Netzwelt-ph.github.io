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ley.pascua\Desktop\"/>
    </mc:Choice>
  </mc:AlternateContent>
  <xr:revisionPtr revIDLastSave="0" documentId="8_{B092DE89-2A26-463D-A5F8-12C100C27D5F}" xr6:coauthVersionLast="47" xr6:coauthVersionMax="47" xr10:uidLastSave="{00000000-0000-0000-0000-000000000000}"/>
  <bookViews>
    <workbookView xWindow="21588" yWindow="996" windowWidth="23652" windowHeight="18384" xr2:uid="{4079E61B-D1DC-484C-9415-107B530EC3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" i="1" l="1"/>
  <c r="E18" i="1"/>
  <c r="E38" i="1"/>
  <c r="E27" i="1"/>
  <c r="E28" i="1" s="1"/>
  <c r="E29" i="1" s="1"/>
  <c r="E17" i="1"/>
  <c r="E21" i="1" s="1"/>
  <c r="E22" i="1" s="1"/>
  <c r="E11" i="1"/>
  <c r="E10" i="1"/>
</calcChain>
</file>

<file path=xl/sharedStrings.xml><?xml version="1.0" encoding="utf-8"?>
<sst xmlns="http://schemas.openxmlformats.org/spreadsheetml/2006/main" count="32" uniqueCount="32">
  <si>
    <t>Basic Wage</t>
  </si>
  <si>
    <t>De-minimis Benefits</t>
  </si>
  <si>
    <t>Monthly Project Bonus</t>
  </si>
  <si>
    <t>Monthly Accruals</t>
  </si>
  <si>
    <t>13th Month Pay</t>
  </si>
  <si>
    <t>Remarks</t>
  </si>
  <si>
    <t>Years of Service</t>
  </si>
  <si>
    <t>Monthly Compensation Package</t>
  </si>
  <si>
    <t>Overtime Pay</t>
  </si>
  <si>
    <t>Night Differential Pay</t>
  </si>
  <si>
    <t>Employment Start Date</t>
  </si>
  <si>
    <t>Tenure</t>
  </si>
  <si>
    <t>Total Monthly Service Fee (PHP)</t>
  </si>
  <si>
    <t>EURPHP Exchange Rate</t>
  </si>
  <si>
    <t>Total Monthly Service Fee (EUR)</t>
  </si>
  <si>
    <t>Variables</t>
  </si>
  <si>
    <t>Annual Workdays for Monthly Salaried Employees</t>
  </si>
  <si>
    <t>Monthly Workdays Qualified for Night Differential</t>
  </si>
  <si>
    <t>Monthly Workdays Qualified for Overtime</t>
  </si>
  <si>
    <t>Annual Service Incentive Leave in Days</t>
  </si>
  <si>
    <t>Retirement Benefit: Basic Salary Factor</t>
  </si>
  <si>
    <t>Amount</t>
  </si>
  <si>
    <t>Item</t>
  </si>
  <si>
    <t>Accrued Retirement Benefit</t>
  </si>
  <si>
    <t>Annual Service Incentive Bonus</t>
  </si>
  <si>
    <t>Social Security (ER+EE)</t>
  </si>
  <si>
    <t>Health Insurance (ER+EE)</t>
  </si>
  <si>
    <t>Housing Development (ER+EE)</t>
  </si>
  <si>
    <t>Involuntary Separation Pay (PHP)</t>
  </si>
  <si>
    <t>Termination Fee (no cause, EUR)</t>
  </si>
  <si>
    <t>Hourly Rate (PHP)</t>
  </si>
  <si>
    <t>Monthly Statutory Obligations and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</si>
</sst>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₱-3409]#,##0.00"/>
    <numFmt numFmtId="165" formatCode="#,##0.00\ [$€-407]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 tint="-0.34998626667073579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 indent="1"/>
    </xf>
    <xf numFmtId="0" fontId="1" fillId="0" borderId="0" xfId="0" applyFont="1"/>
    <xf numFmtId="0" fontId="1" fillId="0" borderId="0" xfId="0" applyFont="1" applyAlignment="1">
      <alignment horizontal="left"/>
    </xf>
    <xf numFmtId="164" fontId="0" fillId="0" borderId="0" xfId="0" applyNumberFormat="1"/>
    <xf numFmtId="0" fontId="2" fillId="0" borderId="0" xfId="0" applyFont="1" applyAlignment="1">
      <alignment horizontal="left" indent="1"/>
    </xf>
    <xf numFmtId="164" fontId="2" fillId="0" borderId="0" xfId="0" applyNumberFormat="1" applyFont="1"/>
    <xf numFmtId="0" fontId="2" fillId="0" borderId="0" xfId="0" applyFont="1"/>
    <xf numFmtId="0" fontId="3" fillId="0" borderId="0" xfId="0" applyFont="1" applyAlignment="1">
      <alignment horizontal="left" indent="1"/>
    </xf>
    <xf numFmtId="164" fontId="3" fillId="0" borderId="0" xfId="0" applyNumberFormat="1" applyFont="1"/>
    <xf numFmtId="165" fontId="0" fillId="2" borderId="0" xfId="0" applyNumberFormat="1" applyFill="1"/>
    <xf numFmtId="165" fontId="3" fillId="2" borderId="0" xfId="0" applyNumberFormat="1" applyFont="1" applyFill="1"/>
    <xf numFmtId="0" fontId="1" fillId="0" borderId="0" xfId="0" applyFont="1" applyAlignment="1">
      <alignment horizontal="left" indent="1"/>
    </xf>
    <xf numFmtId="14" fontId="3" fillId="0" borderId="0" xfId="0" applyNumberFormat="1" applyFont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113A6-B489-42BC-B909-B0368363B8CA}">
  <dimension ref="C2:F38"/>
  <sheetViews>
    <sheetView tabSelected="1" workbookViewId="0">
      <selection activeCell="F33" sqref="F33"/>
    </sheetView>
  </sheetViews>
  <sheetFormatPr defaultRowHeight="15" x14ac:dyDescent="0.25"/>
  <cols>
    <col min="3" max="3" width="5.42578125" customWidth="1"/>
    <col min="4" max="4" width="46.85546875" bestFit="1" customWidth="1"/>
    <col min="5" max="5" width="21.28515625" customWidth="1"/>
    <col min="6" max="6" width="27.42578125" customWidth="1"/>
  </cols>
  <sheetData>
    <row r="2" spans="3:6" x14ac:dyDescent="0.25">
      <c r="D2" s="2" t="s">
        <v>22</v>
      </c>
      <c r="E2" s="2" t="s">
        <v>21</v>
      </c>
      <c r="F2" s="2" t="s">
        <v>5</v>
      </c>
    </row>
    <row r="4" spans="3:6" x14ac:dyDescent="0.25">
      <c r="D4" s="2" t="s">
        <v>7</v>
      </c>
    </row>
    <row r="5" spans="3:6" x14ac:dyDescent="0.25">
      <c r="C5" s="14"/>
      <c r="D5" s="8" t="s">
        <v>0</v>
      </c>
      <c r="E5" s="9">
        <v>19000</v>
      </c>
    </row>
    <row r="6" spans="3:6" x14ac:dyDescent="0.25">
      <c r="C6" s="14"/>
      <c r="D6" s="8" t="s">
        <v>1</v>
      </c>
      <c r="E6" s="9">
        <v>8000</v>
      </c>
    </row>
    <row r="7" spans="3:6" x14ac:dyDescent="0.25">
      <c r="C7" s="14"/>
      <c r="D7" s="8" t="s">
        <v>2</v>
      </c>
      <c r="E7" s="9">
        <v>1000</v>
      </c>
    </row>
    <row r="9" spans="3:6" x14ac:dyDescent="0.25">
      <c r="D9" s="2" t="s">
        <v>3</v>
      </c>
    </row>
    <row r="10" spans="3:6" x14ac:dyDescent="0.25">
      <c r="D10" s="5" t="s">
        <v>4</v>
      </c>
      <c r="E10" s="6">
        <f>E5/12</f>
        <v>1583.3333333333333</v>
      </c>
    </row>
    <row r="11" spans="3:6" x14ac:dyDescent="0.25">
      <c r="D11" s="5" t="s">
        <v>24</v>
      </c>
      <c r="E11" s="6">
        <f>E5/12</f>
        <v>1583.3333333333333</v>
      </c>
    </row>
    <row r="13" spans="3:6" x14ac:dyDescent="0.25">
      <c r="D13" s="2" t="s">
        <v>31</v>
      </c>
    </row>
    <row r="14" spans="3:6" x14ac:dyDescent="0.25">
      <c r="D14" s="5" t="s">
        <v>25</v>
      </c>
      <c r="E14" s="6">
        <v>5280</v>
      </c>
    </row>
    <row r="15" spans="3:6" x14ac:dyDescent="0.25">
      <c r="D15" s="5" t="s">
        <v>26</v>
      </c>
      <c r="E15" s="6">
        <v>5000</v>
      </c>
    </row>
    <row r="16" spans="3:6" x14ac:dyDescent="0.25">
      <c r="D16" s="5" t="s">
        <v>27</v>
      </c>
      <c r="E16" s="6">
        <v>200</v>
      </c>
    </row>
    <row r="17" spans="3:5" x14ac:dyDescent="0.25">
      <c r="D17" s="5" t="s">
        <v>23</v>
      </c>
      <c r="E17" s="6">
        <f>(SUM(E5:E7)/(E32/12))*1.875</f>
        <v>2413.7931034482758</v>
      </c>
    </row>
    <row r="18" spans="3:5" x14ac:dyDescent="0.25">
      <c r="D18" s="5" t="s">
        <v>8</v>
      </c>
      <c r="E18" s="6">
        <f>E38*1.3*8*E34</f>
        <v>5678.1609195402307</v>
      </c>
    </row>
    <row r="19" spans="3:5" x14ac:dyDescent="0.25">
      <c r="D19" s="5" t="s">
        <v>9</v>
      </c>
      <c r="E19" s="6">
        <f>((E38*0.1)*8)*E33</f>
        <v>1921.8390804597702</v>
      </c>
    </row>
    <row r="20" spans="3:5" x14ac:dyDescent="0.25">
      <c r="D20" s="1"/>
    </row>
    <row r="21" spans="3:5" x14ac:dyDescent="0.25">
      <c r="D21" s="3" t="s">
        <v>12</v>
      </c>
      <c r="E21" s="4">
        <f>CEILING(SUM(E4:E20),100)</f>
        <v>51700</v>
      </c>
    </row>
    <row r="22" spans="3:5" x14ac:dyDescent="0.25">
      <c r="D22" s="3" t="s">
        <v>14</v>
      </c>
      <c r="E22" s="10">
        <f>CEILING(E21/E37,50)</f>
        <v>950</v>
      </c>
    </row>
    <row r="25" spans="3:5" x14ac:dyDescent="0.25">
      <c r="D25" s="3" t="s">
        <v>11</v>
      </c>
    </row>
    <row r="26" spans="3:5" x14ac:dyDescent="0.25">
      <c r="C26" s="14"/>
      <c r="D26" s="8" t="s">
        <v>10</v>
      </c>
      <c r="E26" s="13">
        <v>44197</v>
      </c>
    </row>
    <row r="27" spans="3:5" x14ac:dyDescent="0.25">
      <c r="D27" s="5" t="s">
        <v>6</v>
      </c>
      <c r="E27" s="7">
        <f ca="1">YEARFRAC(E26,TODAY())</f>
        <v>4.9055555555555559</v>
      </c>
    </row>
    <row r="28" spans="3:5" x14ac:dyDescent="0.25">
      <c r="D28" s="5" t="s">
        <v>28</v>
      </c>
      <c r="E28" s="6">
        <f ca="1">E5*E27</f>
        <v>93205.555555555562</v>
      </c>
    </row>
    <row r="29" spans="3:5" x14ac:dyDescent="0.25">
      <c r="D29" s="12" t="s">
        <v>29</v>
      </c>
      <c r="E29" s="11">
        <f ca="1">CEILING(E28/E37,10)</f>
        <v>1670</v>
      </c>
    </row>
    <row r="31" spans="3:5" x14ac:dyDescent="0.25">
      <c r="D31" s="3" t="s">
        <v>15</v>
      </c>
    </row>
    <row r="32" spans="3:5" x14ac:dyDescent="0.25">
      <c r="D32" s="5" t="s">
        <v>16</v>
      </c>
      <c r="E32" s="7">
        <v>261</v>
      </c>
    </row>
    <row r="33" spans="4:5" x14ac:dyDescent="0.25">
      <c r="D33" s="5" t="s">
        <v>17</v>
      </c>
      <c r="E33" s="7">
        <v>22</v>
      </c>
    </row>
    <row r="34" spans="4:5" x14ac:dyDescent="0.25">
      <c r="D34" s="5" t="s">
        <v>18</v>
      </c>
      <c r="E34" s="7">
        <v>5</v>
      </c>
    </row>
    <row r="35" spans="4:5" x14ac:dyDescent="0.25">
      <c r="D35" s="5" t="s">
        <v>19</v>
      </c>
      <c r="E35" s="7">
        <v>5</v>
      </c>
    </row>
    <row r="36" spans="4:5" x14ac:dyDescent="0.25">
      <c r="D36" s="5" t="s">
        <v>20</v>
      </c>
      <c r="E36" s="7">
        <v>0.5</v>
      </c>
    </row>
    <row r="37" spans="4:5" x14ac:dyDescent="0.25">
      <c r="D37" s="5" t="s">
        <v>13</v>
      </c>
      <c r="E37" s="7">
        <v>56</v>
      </c>
    </row>
    <row r="38" spans="4:5" x14ac:dyDescent="0.25">
      <c r="D38" s="5" t="s">
        <v>30</v>
      </c>
      <c r="E38" s="6">
        <f>((E5*12)/E32)/8</f>
        <v>109.19540229885058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Harley Pascua</dc:creator>
  <cp:lastModifiedBy>Harley Pascua</cp:lastModifiedBy>
  <dcterms:created xsi:type="dcterms:W3CDTF">2025-11-27T03:54:45Z</dcterms:created>
  <dcterms:modified xsi:type="dcterms:W3CDTF">2025-11-27T06:54:32Z</dcterms:modified>
</cp:coreProperties>
</file>